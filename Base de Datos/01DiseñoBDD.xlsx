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CUELAPROGRAMACIONKD\03MODULO\inventarios\Base de Datos\"/>
    </mc:Choice>
  </mc:AlternateContent>
  <xr:revisionPtr revIDLastSave="0" documentId="13_ncr:1_{8ABEF119-62E1-44CC-BF90-98B8269B0AEF}" xr6:coauthVersionLast="47" xr6:coauthVersionMax="47" xr10:uidLastSave="{00000000-0000-0000-0000-000000000000}"/>
  <bookViews>
    <workbookView xWindow="-120" yWindow="-120" windowWidth="29040" windowHeight="15720" xr2:uid="{E9E292EC-47DE-4FD1-BDC6-A5B6D9350F58}"/>
  </bookViews>
  <sheets>
    <sheet name="TABLAS BDD" sheetId="1" r:id="rId1"/>
    <sheet name="SERVIC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3" i="1" l="1"/>
  <c r="G73" i="1"/>
</calcChain>
</file>

<file path=xl/sharedStrings.xml><?xml version="1.0" encoding="utf-8"?>
<sst xmlns="http://schemas.openxmlformats.org/spreadsheetml/2006/main" count="192" uniqueCount="137">
  <si>
    <t>CATEGORIAS</t>
  </si>
  <si>
    <t>CODIGO PK</t>
  </si>
  <si>
    <t>NOMBRE</t>
  </si>
  <si>
    <t>CATEGORIA_PADRE FK</t>
  </si>
  <si>
    <t>Materia Prima</t>
  </si>
  <si>
    <t>Proteina</t>
  </si>
  <si>
    <t>Salsas</t>
  </si>
  <si>
    <t>Punto de Venta</t>
  </si>
  <si>
    <t>Bebidas</t>
  </si>
  <si>
    <t>Con alcohol</t>
  </si>
  <si>
    <t>null</t>
  </si>
  <si>
    <t>UNIDADES DE MEDIDAS</t>
  </si>
  <si>
    <t>CODIGO</t>
  </si>
  <si>
    <t>ml</t>
  </si>
  <si>
    <t>CATEGORIA_UNIDAD_MEDIDAD</t>
  </si>
  <si>
    <t>U</t>
  </si>
  <si>
    <t>V</t>
  </si>
  <si>
    <t>Volumen</t>
  </si>
  <si>
    <t>Unidades</t>
  </si>
  <si>
    <t>P</t>
  </si>
  <si>
    <t>Peso</t>
  </si>
  <si>
    <t>L</t>
  </si>
  <si>
    <t>Longitud</t>
  </si>
  <si>
    <t>DESCRIPCION</t>
  </si>
  <si>
    <t>mililitros</t>
  </si>
  <si>
    <t>l</t>
  </si>
  <si>
    <t>litros</t>
  </si>
  <si>
    <t>u</t>
  </si>
  <si>
    <t>unidades</t>
  </si>
  <si>
    <t>d</t>
  </si>
  <si>
    <t>g</t>
  </si>
  <si>
    <t>gramos</t>
  </si>
  <si>
    <t>kg</t>
  </si>
  <si>
    <t>decenas</t>
  </si>
  <si>
    <t>kilogramos</t>
  </si>
  <si>
    <t>lb</t>
  </si>
  <si>
    <t>libras</t>
  </si>
  <si>
    <t>CATEGORIA_UDM FK</t>
  </si>
  <si>
    <t>PRODUCTO</t>
  </si>
  <si>
    <t>Coca Cola Pequeña</t>
  </si>
  <si>
    <t>PRECIO_VENTA</t>
  </si>
  <si>
    <t>TIENE IVA</t>
  </si>
  <si>
    <t>COSTE</t>
  </si>
  <si>
    <t>Sin alcohol</t>
  </si>
  <si>
    <t>true</t>
  </si>
  <si>
    <t>Salsa Tomate</t>
  </si>
  <si>
    <t>TIPO DOCUMENTO</t>
  </si>
  <si>
    <t>1753081056001</t>
  </si>
  <si>
    <t>CATEGORIA FK</t>
  </si>
  <si>
    <t>UDM FK</t>
  </si>
  <si>
    <t>PROVEEDOR</t>
  </si>
  <si>
    <t>CEDULA</t>
  </si>
  <si>
    <t>RUC</t>
  </si>
  <si>
    <t>R</t>
  </si>
  <si>
    <t>C</t>
  </si>
  <si>
    <t>TIPO DOCUMENTO FK</t>
  </si>
  <si>
    <t>TELEFONO</t>
  </si>
  <si>
    <t>CORREO</t>
  </si>
  <si>
    <t>EDWIN CUSIN</t>
  </si>
  <si>
    <t>096918927</t>
  </si>
  <si>
    <t>egca@cusin.com</t>
  </si>
  <si>
    <t>1753081056</t>
  </si>
  <si>
    <t>SNACK SA</t>
  </si>
  <si>
    <t>empresa@cusin.com</t>
  </si>
  <si>
    <t>DIRECCION</t>
  </si>
  <si>
    <t>LAS CASAS</t>
  </si>
  <si>
    <t>CARCELEN</t>
  </si>
  <si>
    <t>NUMERO</t>
  </si>
  <si>
    <t>FECHA</t>
  </si>
  <si>
    <t>PROVEEDOR FK</t>
  </si>
  <si>
    <t>CABECERA DE PEDIDO</t>
  </si>
  <si>
    <t>DETALLE PEDIDO</t>
  </si>
  <si>
    <t>CABECERA PEDIDO FK</t>
  </si>
  <si>
    <t>CANTIDAD</t>
  </si>
  <si>
    <t>SUBTOTAL</t>
  </si>
  <si>
    <t>Mostaza</t>
  </si>
  <si>
    <t>fuze te</t>
  </si>
  <si>
    <t>PRODUCTO FK</t>
  </si>
  <si>
    <t>CANTIDAD_SOLICITADA</t>
  </si>
  <si>
    <t>CANTIDAD_RECIBIDA</t>
  </si>
  <si>
    <t>ESTADO</t>
  </si>
  <si>
    <t>S</t>
  </si>
  <si>
    <t>SOLICITADO</t>
  </si>
  <si>
    <t>RECIBIDO</t>
  </si>
  <si>
    <t>STOCK</t>
  </si>
  <si>
    <t>HISTORIAL STOK</t>
  </si>
  <si>
    <t>TIMESTAMP WITHOUT ZONE</t>
  </si>
  <si>
    <t>REFERENCIA</t>
  </si>
  <si>
    <t>PEDIDO1</t>
  </si>
  <si>
    <t>PEDIDO2</t>
  </si>
  <si>
    <t>CABECERA VENTAS</t>
  </si>
  <si>
    <t>TOTAL</t>
  </si>
  <si>
    <t>IVA</t>
  </si>
  <si>
    <t>TOTAL_SIN_IVA</t>
  </si>
  <si>
    <t>DETALLE VENTAS</t>
  </si>
  <si>
    <t>CABECERA_VENTAS</t>
  </si>
  <si>
    <t>VENTA1</t>
  </si>
  <si>
    <t>SUBTOTAL_IVA</t>
  </si>
  <si>
    <t xml:space="preserve">NO TOMAR ASUNTO PRUBAS EL PORQUE </t>
  </si>
  <si>
    <t>IDENTIFICADOR PK</t>
  </si>
  <si>
    <t xml:space="preserve">CODIGO PK </t>
  </si>
  <si>
    <t>ACCION</t>
  </si>
  <si>
    <t>GET</t>
  </si>
  <si>
    <t>URL</t>
  </si>
  <si>
    <t>/proveedores/buscar/{subcadena}</t>
  </si>
  <si>
    <t>recupera todos los proveddores cuyo nombre contenga la subcadena con el path param</t>
  </si>
  <si>
    <t>SERVICIOS</t>
  </si>
  <si>
    <t>/tiposdocumento/recuperar</t>
  </si>
  <si>
    <t>recupera todos los tipos de documentos</t>
  </si>
  <si>
    <t xml:space="preserve"> POST</t>
  </si>
  <si>
    <t>/provedores/crear</t>
  </si>
  <si>
    <t>crea o inserta un nuevo proveedor</t>
  </si>
  <si>
    <t>recupera todos los productos cuyo nombre contenga la subcadena con el path param</t>
  </si>
  <si>
    <t>POST</t>
  </si>
  <si>
    <t>/productos/crear</t>
  </si>
  <si>
    <t>crear producto</t>
  </si>
  <si>
    <t>/pedidos/registrar</t>
  </si>
  <si>
    <t>PUT</t>
  </si>
  <si>
    <t>/pedidos/recibir</t>
  </si>
  <si>
    <t>modificar el estado del pedido y de cada detalle actualiza la cantidad recibida y el subtotal.</t>
  </si>
  <si>
    <t>/ventas/guardar</t>
  </si>
  <si>
    <t>crear cabecera del pedido y el detalles del pedido</t>
  </si>
  <si>
    <t>crear cabecera de la venta y el detalles de la venta</t>
  </si>
  <si>
    <t>/productos/buscar/{subcadena}</t>
  </si>
  <si>
    <t>/productos/actualizar</t>
  </si>
  <si>
    <t>actualiza o modifica un producto de acuerdo a la id</t>
  </si>
  <si>
    <t>/categorias/crear</t>
  </si>
  <si>
    <t>crea o inserta una nueva categoria en la tabla categoria</t>
  </si>
  <si>
    <t>/categorias/actualizar</t>
  </si>
  <si>
    <t>actualiza o modifica una categoria</t>
  </si>
  <si>
    <t>/categorias/recuperar</t>
  </si>
  <si>
    <t>recupera todas las categorias registradas en la tabla.</t>
  </si>
  <si>
    <t>/pedidos/buscar/{identificadorProveedor]</t>
  </si>
  <si>
    <t>Recupera los pedidos con sus respectivos detalles de un proveedor determinado. Recibe el identificador del proveedor.</t>
  </si>
  <si>
    <t xml:space="preserve">GET </t>
  </si>
  <si>
    <t>/provedores/buscar/{identificador]</t>
  </si>
  <si>
    <t xml:space="preserve">recupera el rpoveedor, recibe el indenficador del proveedor como parametro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</si>
</sst>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4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2" fillId="0" borderId="1" xfId="1" applyNumberForma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49" fontId="0" fillId="9" borderId="1" xfId="0" applyNumberFormat="1" applyFill="1" applyBorder="1" applyAlignment="1">
      <alignment horizontal="center" vertical="center"/>
    </xf>
    <xf numFmtId="49" fontId="0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22" fontId="0" fillId="0" borderId="1" xfId="0" applyNumberFormat="1" applyBorder="1"/>
    <xf numFmtId="0" fontId="4" fillId="0" borderId="1" xfId="0" applyFont="1" applyBorder="1"/>
    <xf numFmtId="0" fontId="0" fillId="2" borderId="1" xfId="0" applyFill="1" applyBorder="1"/>
    <xf numFmtId="0" fontId="4" fillId="0" borderId="0" xfId="0" applyFont="1"/>
    <xf numFmtId="0" fontId="4" fillId="2" borderId="1" xfId="0" applyFont="1" applyFill="1" applyBorder="1"/>
    <xf numFmtId="0" fontId="5" fillId="0" borderId="0" xfId="0" applyFont="1"/>
    <xf numFmtId="0" fontId="6" fillId="12" borderId="1" xfId="0" applyFont="1" applyFill="1" applyBorder="1" applyAlignment="1">
      <alignment horizontal="center" vertical="center"/>
    </xf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C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gca@cusin.com" TargetMode="External"/><Relationship Id="rId1" Type="http://schemas.openxmlformats.org/officeDocument/2006/relationships/hyperlink" Target="mailto:empresa@cusin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A827-0170-4345-A455-E7606A8500EF}">
  <dimension ref="B2:J75"/>
  <sheetViews>
    <sheetView tabSelected="1" zoomScale="115" zoomScaleNormal="115" workbookViewId="0">
      <selection activeCell="F7" sqref="F7"/>
    </sheetView>
  </sheetViews>
  <sheetFormatPr baseColWidth="10" defaultRowHeight="15" x14ac:dyDescent="0.25"/>
  <cols>
    <col min="2" max="2" width="17.42578125" customWidth="1"/>
    <col min="3" max="4" width="21.42578125" customWidth="1"/>
    <col min="5" max="5" width="24.5703125" customWidth="1"/>
    <col min="6" max="6" width="19.42578125" customWidth="1"/>
    <col min="7" max="7" width="22.28515625" customWidth="1"/>
    <col min="8" max="8" width="21.42578125" customWidth="1"/>
    <col min="9" max="9" width="11.7109375" bestFit="1" customWidth="1"/>
    <col min="10" max="10" width="21.140625" customWidth="1"/>
  </cols>
  <sheetData>
    <row r="2" spans="2:8" x14ac:dyDescent="0.25">
      <c r="B2" s="39" t="s">
        <v>0</v>
      </c>
      <c r="C2" s="39"/>
      <c r="D2" s="39"/>
    </row>
    <row r="3" spans="2:8" x14ac:dyDescent="0.25">
      <c r="B3" s="8" t="s">
        <v>1</v>
      </c>
      <c r="C3" s="8" t="s">
        <v>2</v>
      </c>
      <c r="D3" s="8" t="s">
        <v>3</v>
      </c>
    </row>
    <row r="4" spans="2:8" x14ac:dyDescent="0.25">
      <c r="B4" s="10">
        <v>1</v>
      </c>
      <c r="C4" s="1" t="s">
        <v>4</v>
      </c>
      <c r="D4" s="5" t="s">
        <v>10</v>
      </c>
    </row>
    <row r="5" spans="2:8" x14ac:dyDescent="0.25">
      <c r="B5" s="3">
        <v>2</v>
      </c>
      <c r="C5" s="1" t="s">
        <v>5</v>
      </c>
      <c r="D5" s="4">
        <v>1</v>
      </c>
    </row>
    <row r="6" spans="2:8" x14ac:dyDescent="0.25">
      <c r="B6" s="3">
        <v>3</v>
      </c>
      <c r="C6" s="1" t="s">
        <v>6</v>
      </c>
      <c r="D6" s="4">
        <v>1</v>
      </c>
    </row>
    <row r="7" spans="2:8" x14ac:dyDescent="0.25">
      <c r="B7" s="11">
        <v>4</v>
      </c>
      <c r="C7" s="1" t="s">
        <v>7</v>
      </c>
      <c r="D7" s="5" t="s">
        <v>10</v>
      </c>
    </row>
    <row r="8" spans="2:8" x14ac:dyDescent="0.25">
      <c r="B8" s="12">
        <v>5</v>
      </c>
      <c r="C8" s="1" t="s">
        <v>8</v>
      </c>
      <c r="D8" s="7">
        <v>4</v>
      </c>
    </row>
    <row r="9" spans="2:8" x14ac:dyDescent="0.25">
      <c r="B9" s="3">
        <v>6</v>
      </c>
      <c r="C9" s="1" t="s">
        <v>9</v>
      </c>
      <c r="D9" s="6">
        <v>5</v>
      </c>
    </row>
    <row r="10" spans="2:8" x14ac:dyDescent="0.25">
      <c r="B10" s="3">
        <v>7</v>
      </c>
      <c r="C10" s="1" t="s">
        <v>43</v>
      </c>
      <c r="D10" s="6">
        <v>5</v>
      </c>
    </row>
    <row r="12" spans="2:8" x14ac:dyDescent="0.25">
      <c r="C12" s="40" t="s">
        <v>11</v>
      </c>
      <c r="D12" s="41"/>
      <c r="E12" s="42"/>
      <c r="G12" s="39" t="s">
        <v>14</v>
      </c>
      <c r="H12" s="39"/>
    </row>
    <row r="13" spans="2:8" x14ac:dyDescent="0.25">
      <c r="C13" s="8" t="s">
        <v>1</v>
      </c>
      <c r="D13" s="8" t="s">
        <v>23</v>
      </c>
      <c r="E13" s="8" t="s">
        <v>37</v>
      </c>
      <c r="G13" s="8" t="s">
        <v>1</v>
      </c>
      <c r="H13" s="8" t="s">
        <v>2</v>
      </c>
    </row>
    <row r="14" spans="2:8" x14ac:dyDescent="0.25">
      <c r="C14" s="14" t="s">
        <v>13</v>
      </c>
      <c r="D14" s="1" t="s">
        <v>24</v>
      </c>
      <c r="E14" s="13" t="s">
        <v>16</v>
      </c>
      <c r="G14" s="13" t="s">
        <v>15</v>
      </c>
      <c r="H14" s="1" t="s">
        <v>18</v>
      </c>
    </row>
    <row r="15" spans="2:8" x14ac:dyDescent="0.25">
      <c r="C15" s="14" t="s">
        <v>25</v>
      </c>
      <c r="D15" s="1" t="s">
        <v>26</v>
      </c>
      <c r="E15" s="13" t="s">
        <v>16</v>
      </c>
      <c r="G15" s="13" t="s">
        <v>16</v>
      </c>
      <c r="H15" s="1" t="s">
        <v>17</v>
      </c>
    </row>
    <row r="16" spans="2:8" x14ac:dyDescent="0.25">
      <c r="C16" s="14" t="s">
        <v>27</v>
      </c>
      <c r="D16" s="1" t="s">
        <v>28</v>
      </c>
      <c r="E16" s="13" t="s">
        <v>15</v>
      </c>
      <c r="G16" s="13" t="s">
        <v>19</v>
      </c>
      <c r="H16" s="1" t="s">
        <v>20</v>
      </c>
    </row>
    <row r="17" spans="2:9" x14ac:dyDescent="0.25">
      <c r="C17" s="14" t="s">
        <v>29</v>
      </c>
      <c r="D17" s="1" t="s">
        <v>33</v>
      </c>
      <c r="E17" s="13" t="s">
        <v>15</v>
      </c>
      <c r="G17" s="13" t="s">
        <v>21</v>
      </c>
      <c r="H17" s="1" t="s">
        <v>22</v>
      </c>
    </row>
    <row r="18" spans="2:9" x14ac:dyDescent="0.25">
      <c r="C18" s="14" t="s">
        <v>30</v>
      </c>
      <c r="D18" s="9" t="s">
        <v>31</v>
      </c>
      <c r="E18" s="13" t="s">
        <v>19</v>
      </c>
    </row>
    <row r="19" spans="2:9" x14ac:dyDescent="0.25">
      <c r="C19" s="14" t="s">
        <v>32</v>
      </c>
      <c r="D19" s="9" t="s">
        <v>34</v>
      </c>
      <c r="E19" s="13" t="s">
        <v>19</v>
      </c>
    </row>
    <row r="20" spans="2:9" x14ac:dyDescent="0.25">
      <c r="C20" s="14" t="s">
        <v>35</v>
      </c>
      <c r="D20" s="9" t="s">
        <v>36</v>
      </c>
      <c r="E20" s="13" t="s">
        <v>19</v>
      </c>
    </row>
    <row r="23" spans="2:9" x14ac:dyDescent="0.25">
      <c r="B23" s="45" t="s">
        <v>38</v>
      </c>
      <c r="C23" s="46"/>
      <c r="D23" s="46"/>
      <c r="E23" s="46"/>
      <c r="F23" s="46"/>
      <c r="G23" s="46"/>
      <c r="H23" s="46"/>
      <c r="I23" s="46"/>
    </row>
    <row r="24" spans="2:9" x14ac:dyDescent="0.25">
      <c r="B24" s="8" t="s">
        <v>1</v>
      </c>
      <c r="C24" s="8" t="s">
        <v>2</v>
      </c>
      <c r="D24" s="8" t="s">
        <v>49</v>
      </c>
      <c r="E24" s="8" t="s">
        <v>40</v>
      </c>
      <c r="F24" s="8" t="s">
        <v>41</v>
      </c>
      <c r="G24" s="8" t="s">
        <v>42</v>
      </c>
      <c r="H24" s="8" t="s">
        <v>48</v>
      </c>
      <c r="I24" s="8" t="s">
        <v>84</v>
      </c>
    </row>
    <row r="25" spans="2:9" x14ac:dyDescent="0.25">
      <c r="B25" s="23">
        <v>1</v>
      </c>
      <c r="C25" s="1" t="s">
        <v>39</v>
      </c>
      <c r="D25" s="14" t="s">
        <v>27</v>
      </c>
      <c r="E25" s="1">
        <v>0.58040000000000003</v>
      </c>
      <c r="F25" s="1" t="s">
        <v>44</v>
      </c>
      <c r="G25" s="1">
        <v>0.37290000000000001</v>
      </c>
      <c r="H25" s="3">
        <v>5</v>
      </c>
      <c r="I25" s="2">
        <v>105</v>
      </c>
    </row>
    <row r="26" spans="2:9" x14ac:dyDescent="0.25">
      <c r="B26" s="23">
        <v>2</v>
      </c>
      <c r="C26" s="1" t="s">
        <v>45</v>
      </c>
      <c r="D26" s="14" t="s">
        <v>32</v>
      </c>
      <c r="E26" s="1">
        <v>0.95</v>
      </c>
      <c r="F26" s="1" t="s">
        <v>44</v>
      </c>
      <c r="G26" s="1">
        <v>0.87360000000000004</v>
      </c>
      <c r="H26" s="3">
        <v>3</v>
      </c>
      <c r="I26" s="2">
        <v>0</v>
      </c>
    </row>
    <row r="27" spans="2:9" x14ac:dyDescent="0.25">
      <c r="B27" s="23">
        <v>3</v>
      </c>
      <c r="C27" s="1" t="s">
        <v>75</v>
      </c>
      <c r="D27" s="3" t="s">
        <v>32</v>
      </c>
      <c r="E27" s="1">
        <v>0.95</v>
      </c>
      <c r="F27" s="1" t="s">
        <v>44</v>
      </c>
      <c r="G27" s="1">
        <v>0.89</v>
      </c>
      <c r="H27" s="3">
        <v>3</v>
      </c>
      <c r="I27" s="2">
        <v>0</v>
      </c>
    </row>
    <row r="28" spans="2:9" x14ac:dyDescent="0.25">
      <c r="B28" s="23">
        <v>4</v>
      </c>
      <c r="C28" s="1" t="s">
        <v>76</v>
      </c>
      <c r="D28" s="3" t="s">
        <v>27</v>
      </c>
      <c r="E28" s="1">
        <v>0.8</v>
      </c>
      <c r="F28" s="1" t="s">
        <v>44</v>
      </c>
      <c r="G28" s="1">
        <v>0.7</v>
      </c>
      <c r="H28" s="3">
        <v>7</v>
      </c>
      <c r="I28" s="2">
        <v>49</v>
      </c>
    </row>
    <row r="31" spans="2:9" x14ac:dyDescent="0.25">
      <c r="C31" s="39" t="s">
        <v>46</v>
      </c>
      <c r="D31" s="39"/>
    </row>
    <row r="32" spans="2:9" x14ac:dyDescent="0.25">
      <c r="C32" s="8" t="s">
        <v>100</v>
      </c>
      <c r="D32" s="8" t="s">
        <v>23</v>
      </c>
    </row>
    <row r="33" spans="2:10" x14ac:dyDescent="0.25">
      <c r="C33" s="18" t="s">
        <v>54</v>
      </c>
      <c r="D33" s="1" t="s">
        <v>51</v>
      </c>
    </row>
    <row r="34" spans="2:10" x14ac:dyDescent="0.25">
      <c r="C34" s="18" t="s">
        <v>53</v>
      </c>
      <c r="D34" s="1" t="s">
        <v>52</v>
      </c>
    </row>
    <row r="36" spans="2:10" x14ac:dyDescent="0.25">
      <c r="B36" s="39" t="s">
        <v>50</v>
      </c>
      <c r="C36" s="39"/>
      <c r="D36" s="39"/>
      <c r="E36" s="39"/>
      <c r="F36" s="39"/>
      <c r="G36" s="39"/>
    </row>
    <row r="37" spans="2:10" x14ac:dyDescent="0.25">
      <c r="B37" s="8" t="s">
        <v>99</v>
      </c>
      <c r="C37" s="8" t="s">
        <v>55</v>
      </c>
      <c r="D37" s="8" t="s">
        <v>2</v>
      </c>
      <c r="E37" s="8" t="s">
        <v>56</v>
      </c>
      <c r="F37" s="8" t="s">
        <v>57</v>
      </c>
      <c r="G37" s="8" t="s">
        <v>64</v>
      </c>
    </row>
    <row r="38" spans="2:10" x14ac:dyDescent="0.25">
      <c r="B38" s="21" t="s">
        <v>61</v>
      </c>
      <c r="C38" s="19" t="s">
        <v>54</v>
      </c>
      <c r="D38" s="15" t="s">
        <v>58</v>
      </c>
      <c r="E38" s="15" t="s">
        <v>59</v>
      </c>
      <c r="F38" s="16" t="s">
        <v>60</v>
      </c>
      <c r="G38" s="17" t="s">
        <v>65</v>
      </c>
    </row>
    <row r="39" spans="2:10" x14ac:dyDescent="0.25">
      <c r="B39" s="22" t="s">
        <v>47</v>
      </c>
      <c r="C39" s="19" t="s">
        <v>53</v>
      </c>
      <c r="D39" s="15" t="s">
        <v>62</v>
      </c>
      <c r="E39" s="15" t="s">
        <v>59</v>
      </c>
      <c r="F39" s="16" t="s">
        <v>63</v>
      </c>
      <c r="G39" s="17" t="s">
        <v>66</v>
      </c>
    </row>
    <row r="42" spans="2:10" x14ac:dyDescent="0.25">
      <c r="B42" s="43" t="s">
        <v>70</v>
      </c>
      <c r="C42" s="44"/>
      <c r="D42" s="44"/>
      <c r="E42" s="44"/>
      <c r="I42" s="40" t="s">
        <v>80</v>
      </c>
      <c r="J42" s="42"/>
    </row>
    <row r="43" spans="2:10" x14ac:dyDescent="0.25">
      <c r="B43" s="8" t="s">
        <v>67</v>
      </c>
      <c r="C43" s="8" t="s">
        <v>69</v>
      </c>
      <c r="D43" s="8" t="s">
        <v>68</v>
      </c>
      <c r="E43" s="8" t="s">
        <v>80</v>
      </c>
      <c r="I43" s="8" t="s">
        <v>1</v>
      </c>
      <c r="J43" s="8" t="s">
        <v>23</v>
      </c>
    </row>
    <row r="44" spans="2:10" x14ac:dyDescent="0.25">
      <c r="B44" s="26">
        <v>1</v>
      </c>
      <c r="C44" s="22" t="s">
        <v>61</v>
      </c>
      <c r="D44" s="20">
        <v>45991</v>
      </c>
      <c r="E44" s="27" t="s">
        <v>53</v>
      </c>
      <c r="I44" s="1" t="s">
        <v>81</v>
      </c>
      <c r="J44" s="1" t="s">
        <v>82</v>
      </c>
    </row>
    <row r="45" spans="2:10" x14ac:dyDescent="0.25">
      <c r="B45" s="26">
        <v>2</v>
      </c>
      <c r="C45" s="22" t="s">
        <v>61</v>
      </c>
      <c r="D45" s="20">
        <v>45981</v>
      </c>
      <c r="E45" s="27" t="s">
        <v>53</v>
      </c>
      <c r="I45" s="1" t="s">
        <v>53</v>
      </c>
      <c r="J45" s="1" t="s">
        <v>83</v>
      </c>
    </row>
    <row r="47" spans="2:10" x14ac:dyDescent="0.25">
      <c r="B47" s="39" t="s">
        <v>71</v>
      </c>
      <c r="C47" s="39"/>
      <c r="D47" s="39"/>
      <c r="E47" s="39"/>
      <c r="F47" s="39"/>
      <c r="G47" s="39"/>
    </row>
    <row r="48" spans="2:10" x14ac:dyDescent="0.25">
      <c r="B48" s="8" t="s">
        <v>1</v>
      </c>
      <c r="C48" s="8" t="s">
        <v>72</v>
      </c>
      <c r="D48" s="8" t="s">
        <v>77</v>
      </c>
      <c r="E48" s="8" t="s">
        <v>78</v>
      </c>
      <c r="F48" s="8" t="s">
        <v>74</v>
      </c>
      <c r="G48" s="8" t="s">
        <v>79</v>
      </c>
    </row>
    <row r="49" spans="2:8" x14ac:dyDescent="0.25">
      <c r="B49" s="1">
        <v>1</v>
      </c>
      <c r="C49" s="25">
        <v>1</v>
      </c>
      <c r="D49" s="24">
        <v>1</v>
      </c>
      <c r="E49" s="1">
        <v>100</v>
      </c>
      <c r="F49" s="1">
        <v>37.29</v>
      </c>
      <c r="G49" s="9">
        <v>100</v>
      </c>
    </row>
    <row r="50" spans="2:8" x14ac:dyDescent="0.25">
      <c r="B50" s="1">
        <v>2</v>
      </c>
      <c r="C50" s="25">
        <v>1</v>
      </c>
      <c r="D50" s="24">
        <v>4</v>
      </c>
      <c r="E50" s="1">
        <v>50</v>
      </c>
      <c r="F50" s="1">
        <v>11.8</v>
      </c>
      <c r="G50" s="9">
        <v>50</v>
      </c>
    </row>
    <row r="51" spans="2:8" x14ac:dyDescent="0.25">
      <c r="B51" s="1">
        <v>3</v>
      </c>
      <c r="C51" s="1">
        <v>2</v>
      </c>
      <c r="D51" s="1">
        <v>1</v>
      </c>
      <c r="E51" s="1">
        <v>10</v>
      </c>
      <c r="F51" s="1">
        <v>3.72</v>
      </c>
      <c r="G51" s="9">
        <v>10</v>
      </c>
    </row>
    <row r="52" spans="2:8" x14ac:dyDescent="0.25">
      <c r="B52" s="2"/>
      <c r="C52" s="2"/>
      <c r="D52" s="2"/>
      <c r="E52" s="2"/>
      <c r="F52" s="2"/>
      <c r="G52" s="2"/>
    </row>
    <row r="54" spans="2:8" x14ac:dyDescent="0.25">
      <c r="B54" s="40" t="s">
        <v>85</v>
      </c>
      <c r="C54" s="41"/>
      <c r="D54" s="41"/>
      <c r="E54" s="41"/>
      <c r="F54" s="42"/>
    </row>
    <row r="55" spans="2:8" x14ac:dyDescent="0.25">
      <c r="B55" s="8" t="s">
        <v>1</v>
      </c>
      <c r="C55" s="8" t="s">
        <v>68</v>
      </c>
      <c r="D55" s="8" t="s">
        <v>87</v>
      </c>
      <c r="E55" s="8" t="s">
        <v>77</v>
      </c>
      <c r="F55" s="8" t="s">
        <v>73</v>
      </c>
    </row>
    <row r="56" spans="2:8" x14ac:dyDescent="0.25">
      <c r="B56" s="2">
        <v>1</v>
      </c>
      <c r="C56" s="28">
        <v>45981.832638888889</v>
      </c>
      <c r="D56" s="2" t="s">
        <v>88</v>
      </c>
      <c r="E56" s="3">
        <v>1</v>
      </c>
      <c r="F56" s="1">
        <v>100</v>
      </c>
    </row>
    <row r="57" spans="2:8" x14ac:dyDescent="0.25">
      <c r="B57" s="2">
        <v>2</v>
      </c>
      <c r="C57" s="28">
        <v>45981.832638888889</v>
      </c>
      <c r="D57" s="2" t="s">
        <v>88</v>
      </c>
      <c r="E57" s="3">
        <v>4</v>
      </c>
      <c r="F57" s="1">
        <v>50</v>
      </c>
    </row>
    <row r="58" spans="2:8" x14ac:dyDescent="0.25">
      <c r="B58" s="2">
        <v>3</v>
      </c>
      <c r="C58" s="28">
        <v>45981.833333333336</v>
      </c>
      <c r="D58" s="2" t="s">
        <v>89</v>
      </c>
      <c r="E58" s="3">
        <v>1</v>
      </c>
      <c r="F58" s="1">
        <v>10</v>
      </c>
    </row>
    <row r="59" spans="2:8" x14ac:dyDescent="0.25">
      <c r="B59" s="2">
        <v>4</v>
      </c>
      <c r="C59" s="28">
        <v>45982.833333333336</v>
      </c>
      <c r="D59" s="2" t="s">
        <v>96</v>
      </c>
      <c r="E59" s="3">
        <v>1</v>
      </c>
      <c r="F59" s="1">
        <v>-5</v>
      </c>
    </row>
    <row r="60" spans="2:8" x14ac:dyDescent="0.25">
      <c r="B60" s="2">
        <v>5</v>
      </c>
      <c r="C60" s="28">
        <v>45982.833333333336</v>
      </c>
      <c r="D60" s="2" t="s">
        <v>96</v>
      </c>
      <c r="E60" s="3">
        <v>4</v>
      </c>
      <c r="F60" s="1">
        <v>-1</v>
      </c>
      <c r="H60" s="31"/>
    </row>
    <row r="61" spans="2:8" x14ac:dyDescent="0.25">
      <c r="G61" s="31"/>
    </row>
    <row r="62" spans="2:8" x14ac:dyDescent="0.25">
      <c r="C62" t="s">
        <v>86</v>
      </c>
    </row>
    <row r="64" spans="2:8" x14ac:dyDescent="0.25">
      <c r="B64" s="40" t="s">
        <v>90</v>
      </c>
      <c r="C64" s="41"/>
      <c r="D64" s="41"/>
      <c r="E64" s="41"/>
      <c r="F64" s="42"/>
    </row>
    <row r="65" spans="2:9" x14ac:dyDescent="0.25">
      <c r="B65" s="8" t="s">
        <v>1</v>
      </c>
      <c r="C65" s="8" t="s">
        <v>68</v>
      </c>
      <c r="D65" s="8" t="s">
        <v>93</v>
      </c>
      <c r="E65" s="8" t="s">
        <v>92</v>
      </c>
      <c r="F65" s="8" t="s">
        <v>91</v>
      </c>
    </row>
    <row r="66" spans="2:9" x14ac:dyDescent="0.25">
      <c r="B66" s="2">
        <v>1</v>
      </c>
      <c r="C66" s="28">
        <v>45250.541666666664</v>
      </c>
      <c r="D66" s="32">
        <v>3.26</v>
      </c>
      <c r="E66" s="2">
        <v>0.39</v>
      </c>
      <c r="F66" s="32">
        <v>3.65</v>
      </c>
    </row>
    <row r="69" spans="2:9" x14ac:dyDescent="0.25">
      <c r="B69" s="45" t="s">
        <v>94</v>
      </c>
      <c r="C69" s="46"/>
      <c r="D69" s="46"/>
      <c r="E69" s="46"/>
      <c r="F69" s="46"/>
      <c r="G69" s="46"/>
      <c r="H69" s="46"/>
    </row>
    <row r="70" spans="2:9" x14ac:dyDescent="0.25">
      <c r="B70" s="8" t="s">
        <v>12</v>
      </c>
      <c r="C70" s="8" t="s">
        <v>95</v>
      </c>
      <c r="D70" s="8" t="s">
        <v>38</v>
      </c>
      <c r="E70" s="8" t="s">
        <v>73</v>
      </c>
      <c r="F70" s="8" t="s">
        <v>40</v>
      </c>
      <c r="G70" s="8" t="s">
        <v>74</v>
      </c>
      <c r="H70" s="8" t="s">
        <v>97</v>
      </c>
    </row>
    <row r="71" spans="2:9" x14ac:dyDescent="0.25">
      <c r="B71" s="2">
        <v>1</v>
      </c>
      <c r="C71" s="2">
        <v>1</v>
      </c>
      <c r="D71" s="2">
        <v>1</v>
      </c>
      <c r="E71" s="2">
        <v>5</v>
      </c>
      <c r="F71" s="2">
        <v>0.57999999999999996</v>
      </c>
      <c r="G71" s="2">
        <v>2.9</v>
      </c>
      <c r="H71" s="2">
        <v>3.25</v>
      </c>
    </row>
    <row r="72" spans="2:9" x14ac:dyDescent="0.25">
      <c r="B72" s="2">
        <v>2</v>
      </c>
      <c r="C72" s="29">
        <v>1</v>
      </c>
      <c r="D72" s="2">
        <v>4</v>
      </c>
      <c r="E72" s="2">
        <v>1</v>
      </c>
      <c r="F72" s="2">
        <v>0.36</v>
      </c>
      <c r="G72" s="2">
        <v>0.36</v>
      </c>
      <c r="H72" s="2">
        <v>0.4</v>
      </c>
    </row>
    <row r="73" spans="2:9" x14ac:dyDescent="0.25">
      <c r="B73" s="2"/>
      <c r="C73" s="2"/>
      <c r="D73" s="2"/>
      <c r="E73" s="2"/>
      <c r="F73" s="2"/>
      <c r="G73" s="30">
        <f>SUM(G71:G72)</f>
        <v>3.26</v>
      </c>
      <c r="H73" s="30">
        <f>SUM(H71:H72)</f>
        <v>3.65</v>
      </c>
      <c r="I73" t="s">
        <v>98</v>
      </c>
    </row>
    <row r="75" spans="2:9" x14ac:dyDescent="0.25">
      <c r="I75" s="31"/>
    </row>
  </sheetData>
  <mergeCells count="12">
    <mergeCell ref="B69:H69"/>
    <mergeCell ref="I42:J42"/>
    <mergeCell ref="B23:I23"/>
    <mergeCell ref="B54:F54"/>
    <mergeCell ref="B64:F64"/>
    <mergeCell ref="C31:D31"/>
    <mergeCell ref="B36:G36"/>
    <mergeCell ref="B2:D2"/>
    <mergeCell ref="G12:H12"/>
    <mergeCell ref="C12:E12"/>
    <mergeCell ref="B47:G47"/>
    <mergeCell ref="B42:E42"/>
  </mergeCells>
  <phoneticPr fontId="3" type="noConversion"/>
  <hyperlinks>
    <hyperlink ref="F39" r:id="rId1" xr:uid="{DE30F743-4137-4984-A662-B2DE4180F2B9}"/>
    <hyperlink ref="F38" r:id="rId2" xr:uid="{D6392CC0-9FAC-4EEB-83F3-32C50F627CFC}"/>
  </hyperlinks>
  <pageMargins left="0.7" right="0.7" top="0.75" bottom="0.75" header="0.3" footer="0.3"/>
  <pageSetup paperSize="9" orientation="portrait" horizontalDpi="4294967292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85FFC-3EB7-4AB3-BAE5-AFAA8DE29BA8}">
  <dimension ref="B2:E18"/>
  <sheetViews>
    <sheetView workbookViewId="0">
      <selection activeCell="D17" sqref="D17"/>
    </sheetView>
  </sheetViews>
  <sheetFormatPr baseColWidth="10" defaultRowHeight="15.75" x14ac:dyDescent="0.25"/>
  <cols>
    <col min="1" max="1" width="4.28515625" customWidth="1"/>
    <col min="2" max="2" width="16.140625" style="33" customWidth="1"/>
    <col min="3" max="3" width="52.140625" style="33" customWidth="1"/>
    <col min="4" max="4" width="138.85546875" style="33" customWidth="1"/>
  </cols>
  <sheetData>
    <row r="2" spans="2:5" s="35" customFormat="1" ht="18.75" x14ac:dyDescent="0.3">
      <c r="B2" s="47" t="s">
        <v>106</v>
      </c>
      <c r="C2" s="47"/>
      <c r="D2" s="47"/>
    </row>
    <row r="3" spans="2:5" s="35" customFormat="1" ht="18.75" x14ac:dyDescent="0.3">
      <c r="B3" s="34" t="s">
        <v>101</v>
      </c>
      <c r="C3" s="34" t="s">
        <v>103</v>
      </c>
      <c r="D3" s="34" t="s">
        <v>23</v>
      </c>
    </row>
    <row r="4" spans="2:5" s="35" customFormat="1" ht="18.75" x14ac:dyDescent="0.3">
      <c r="B4" s="36" t="s">
        <v>102</v>
      </c>
      <c r="C4" s="36" t="s">
        <v>104</v>
      </c>
      <c r="D4" s="36" t="s">
        <v>105</v>
      </c>
    </row>
    <row r="5" spans="2:5" s="35" customFormat="1" ht="18.75" x14ac:dyDescent="0.3">
      <c r="B5" s="36" t="s">
        <v>102</v>
      </c>
      <c r="C5" s="36" t="s">
        <v>107</v>
      </c>
      <c r="D5" s="36" t="s">
        <v>108</v>
      </c>
    </row>
    <row r="6" spans="2:5" s="35" customFormat="1" ht="18.75" x14ac:dyDescent="0.3">
      <c r="B6" s="36" t="s">
        <v>109</v>
      </c>
      <c r="C6" s="36" t="s">
        <v>110</v>
      </c>
      <c r="D6" s="36" t="s">
        <v>111</v>
      </c>
    </row>
    <row r="7" spans="2:5" s="35" customFormat="1" ht="18.75" x14ac:dyDescent="0.3">
      <c r="B7" s="36" t="s">
        <v>102</v>
      </c>
      <c r="C7" s="36" t="s">
        <v>123</v>
      </c>
      <c r="D7" s="36" t="s">
        <v>112</v>
      </c>
    </row>
    <row r="8" spans="2:5" s="35" customFormat="1" ht="18.75" x14ac:dyDescent="0.3">
      <c r="B8" s="36" t="s">
        <v>113</v>
      </c>
      <c r="C8" s="36" t="s">
        <v>114</v>
      </c>
      <c r="D8" s="36" t="s">
        <v>115</v>
      </c>
    </row>
    <row r="9" spans="2:5" s="35" customFormat="1" ht="18.75" x14ac:dyDescent="0.3">
      <c r="B9" s="36" t="s">
        <v>113</v>
      </c>
      <c r="C9" s="36" t="s">
        <v>116</v>
      </c>
      <c r="D9" s="36" t="s">
        <v>121</v>
      </c>
    </row>
    <row r="10" spans="2:5" s="35" customFormat="1" ht="18.75" x14ac:dyDescent="0.3">
      <c r="B10" s="36" t="s">
        <v>117</v>
      </c>
      <c r="C10" s="36" t="s">
        <v>118</v>
      </c>
      <c r="D10" s="36" t="s">
        <v>119</v>
      </c>
    </row>
    <row r="11" spans="2:5" s="35" customFormat="1" ht="18.75" x14ac:dyDescent="0.3">
      <c r="B11" s="36" t="s">
        <v>113</v>
      </c>
      <c r="C11" s="36" t="s">
        <v>120</v>
      </c>
      <c r="D11" s="36" t="s">
        <v>122</v>
      </c>
    </row>
    <row r="12" spans="2:5" s="35" customFormat="1" ht="18.75" x14ac:dyDescent="0.3">
      <c r="B12" s="36" t="s">
        <v>117</v>
      </c>
      <c r="C12" s="36" t="s">
        <v>124</v>
      </c>
      <c r="D12" s="36" t="s">
        <v>125</v>
      </c>
    </row>
    <row r="13" spans="2:5" s="35" customFormat="1" ht="18.75" x14ac:dyDescent="0.3">
      <c r="B13" s="36" t="s">
        <v>113</v>
      </c>
      <c r="C13" s="36" t="s">
        <v>126</v>
      </c>
      <c r="D13" s="38" t="s">
        <v>127</v>
      </c>
    </row>
    <row r="14" spans="2:5" s="35" customFormat="1" ht="18.75" x14ac:dyDescent="0.3">
      <c r="B14" s="36" t="s">
        <v>117</v>
      </c>
      <c r="C14" s="36" t="s">
        <v>128</v>
      </c>
      <c r="D14" s="36" t="s">
        <v>129</v>
      </c>
    </row>
    <row r="15" spans="2:5" s="35" customFormat="1" ht="18.75" x14ac:dyDescent="0.3">
      <c r="B15" s="36" t="s">
        <v>102</v>
      </c>
      <c r="C15" s="36" t="s">
        <v>130</v>
      </c>
      <c r="D15" s="36" t="s">
        <v>131</v>
      </c>
    </row>
    <row r="16" spans="2:5" s="35" customFormat="1" ht="18.75" x14ac:dyDescent="0.3">
      <c r="B16" s="36" t="s">
        <v>102</v>
      </c>
      <c r="C16" s="36" t="s">
        <v>132</v>
      </c>
      <c r="D16" s="36" t="s">
        <v>133</v>
      </c>
      <c r="E16" s="37"/>
    </row>
    <row r="17" spans="2:4" s="35" customFormat="1" ht="18.75" x14ac:dyDescent="0.3">
      <c r="B17" s="36" t="s">
        <v>134</v>
      </c>
      <c r="C17" s="36" t="s">
        <v>135</v>
      </c>
      <c r="D17" s="36" t="s">
        <v>136</v>
      </c>
    </row>
    <row r="18" spans="2:4" s="35" customFormat="1" ht="18.75" x14ac:dyDescent="0.3">
      <c r="B18" s="36"/>
      <c r="C18" s="36"/>
      <c r="D18" s="36"/>
    </row>
  </sheetData>
  <mergeCells count="1">
    <mergeCell ref="B2:D2"/>
  </mergeCell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 BDD</vt:lpstr>
      <vt:lpstr>SERVICIOS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GEOVANY CUSIN ANTAMBA</dc:creator>
  <cp:lastModifiedBy>Edwin Cusin</cp:lastModifiedBy>
  <dcterms:created xsi:type="dcterms:W3CDTF">2026-01-09T01:25:04Z</dcterms:created>
  <dcterms:modified xsi:type="dcterms:W3CDTF">2026-02-22T19:25:32Z</dcterms:modified>
</cp:coreProperties>
</file>